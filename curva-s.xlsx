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iag\Downloads\"/>
    </mc:Choice>
  </mc:AlternateContent>
  <xr:revisionPtr revIDLastSave="0" documentId="13_ncr:1_{857232D3-FD43-41CB-A59D-A09A059724F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urva 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11" i="1"/>
  <c r="I15" i="1"/>
  <c r="I18" i="1"/>
  <c r="I20" i="1"/>
  <c r="H21" i="1"/>
  <c r="I21" i="1"/>
  <c r="H20" i="1"/>
  <c r="H19" i="1"/>
  <c r="I19" i="1"/>
  <c r="H18" i="1"/>
  <c r="I17" i="1"/>
  <c r="H17" i="1"/>
  <c r="I16" i="1"/>
  <c r="H16" i="1"/>
  <c r="H15" i="1"/>
  <c r="H14" i="1"/>
  <c r="I14" i="1"/>
  <c r="I13" i="1"/>
  <c r="H13" i="1"/>
  <c r="H12" i="1"/>
  <c r="I12" i="1"/>
  <c r="H11" i="1"/>
  <c r="H10" i="1"/>
  <c r="I10" i="1"/>
  <c r="H9" i="1"/>
  <c r="I9" i="1"/>
  <c r="H8" i="1"/>
  <c r="I8" i="1"/>
  <c r="H7" i="1"/>
  <c r="H6" i="1"/>
  <c r="I6" i="1"/>
  <c r="H5" i="1"/>
  <c r="I5" i="1"/>
  <c r="K4" i="1"/>
  <c r="I4" i="1"/>
  <c r="H4" i="1"/>
  <c r="F4" i="1"/>
  <c r="J2" i="1"/>
  <c r="E22" i="1" l="1"/>
  <c r="L4" i="1" s="1"/>
  <c r="F5" i="1"/>
  <c r="F6" i="1" s="1"/>
  <c r="F7" i="1" s="1"/>
  <c r="K5" i="1"/>
  <c r="G6" i="1" l="1"/>
  <c r="G7" i="1"/>
  <c r="G4" i="1"/>
  <c r="L5" i="1"/>
  <c r="G5" i="1"/>
  <c r="K6" i="1"/>
  <c r="L6" i="1" s="1"/>
  <c r="F8" i="1"/>
  <c r="G8" i="1" s="1"/>
  <c r="K7" i="1" l="1"/>
  <c r="L7" i="1" s="1"/>
  <c r="F9" i="1"/>
  <c r="G9" i="1" s="1"/>
  <c r="F10" i="1" l="1"/>
  <c r="G10" i="1" s="1"/>
  <c r="K8" i="1"/>
  <c r="L8" i="1" s="1"/>
  <c r="K9" i="1" l="1"/>
  <c r="L9" i="1" s="1"/>
  <c r="F11" i="1"/>
  <c r="G11" i="1" s="1"/>
  <c r="F12" i="1" l="1"/>
  <c r="G12" i="1" s="1"/>
  <c r="K10" i="1"/>
  <c r="L10" i="1" s="1"/>
  <c r="F13" i="1" l="1"/>
  <c r="G13" i="1" s="1"/>
  <c r="K11" i="1"/>
  <c r="L11" i="1" s="1"/>
  <c r="F14" i="1" l="1"/>
  <c r="G14" i="1" s="1"/>
  <c r="K12" i="1"/>
  <c r="L12" i="1" s="1"/>
  <c r="K13" i="1" l="1"/>
  <c r="L13" i="1" s="1"/>
  <c r="F15" i="1"/>
  <c r="G15" i="1" s="1"/>
  <c r="F16" i="1" l="1"/>
  <c r="G16" i="1" s="1"/>
  <c r="C24" i="1" s="1"/>
  <c r="K14" i="1"/>
  <c r="L14" i="1" s="1"/>
  <c r="K15" i="1" l="1"/>
  <c r="L15" i="1" s="1"/>
  <c r="F17" i="1"/>
  <c r="G17" i="1" s="1"/>
  <c r="K16" i="1" l="1"/>
  <c r="L16" i="1" s="1"/>
  <c r="C25" i="1" s="1"/>
  <c r="C26" i="1" s="1"/>
  <c r="F18" i="1"/>
  <c r="G18" i="1" s="1"/>
  <c r="F19" i="1" l="1"/>
  <c r="G19" i="1" s="1"/>
  <c r="F20" i="1" l="1"/>
  <c r="G20" i="1" s="1"/>
  <c r="F21" i="1" l="1"/>
  <c r="G21" i="1" s="1"/>
</calcChain>
</file>

<file path=xl/sharedStrings.xml><?xml version="1.0" encoding="utf-8"?>
<sst xmlns="http://schemas.openxmlformats.org/spreadsheetml/2006/main" count="65" uniqueCount="46">
  <si>
    <t>Avance planificado</t>
  </si>
  <si>
    <t xml:space="preserve">Avance real : </t>
  </si>
  <si>
    <t>semana</t>
  </si>
  <si>
    <t>Fecha</t>
  </si>
  <si>
    <t>HH ejecutadas</t>
  </si>
  <si>
    <t>HH acumuladas</t>
  </si>
  <si>
    <t>% Acumulado</t>
  </si>
  <si>
    <t>%</t>
  </si>
  <si>
    <t>(04/08/25-10/08/25)</t>
  </si>
  <si>
    <t>(11/08/25-17/08/25)</t>
  </si>
  <si>
    <t>(18/08/25-24/08/25)</t>
  </si>
  <si>
    <t>(25/08/25-31/08/25)</t>
  </si>
  <si>
    <t>(01/09/25-07/09/25)</t>
  </si>
  <si>
    <t>(08/09/25-14/09/25)</t>
  </si>
  <si>
    <t>(15/09/25-21/09/25)</t>
  </si>
  <si>
    <t>(22/09/25-28/09/25)</t>
  </si>
  <si>
    <t>(29/09/25-05/10/25)</t>
  </si>
  <si>
    <t>(06/10/25-12/10/25)</t>
  </si>
  <si>
    <t>(13/10/25-19/10/25)</t>
  </si>
  <si>
    <t>(20/10/25-26/10/25)</t>
  </si>
  <si>
    <t>(27/10/25-02/11/25)</t>
  </si>
  <si>
    <t>(03/11/25-09/11/25)</t>
  </si>
  <si>
    <t>(10/11/25-07/16/25)</t>
  </si>
  <si>
    <t>(17/11/25-23/11/25)</t>
  </si>
  <si>
    <t>(24/11/25-30/11/25)</t>
  </si>
  <si>
    <t>(01/12/25-07/12/25)</t>
  </si>
  <si>
    <t>🔶 Pruebas internas del sistema</t>
  </si>
  <si>
    <t>🔶 Ajustes y optimizacion del sistema</t>
  </si>
  <si>
    <t>🔶 Capacitación de personal</t>
  </si>
  <si>
    <t>🔶 Evaluación de impacto</t>
  </si>
  <si>
    <r>
      <rPr>
        <sz val="10"/>
        <rFont val="Mangal Pro"/>
      </rPr>
      <t>🔶</t>
    </r>
    <r>
      <rPr>
        <sz val="10"/>
        <color theme="1"/>
        <rFont val="Mangal Pro"/>
      </rPr>
      <t xml:space="preserve"> Informe final del proyecto</t>
    </r>
  </si>
  <si>
    <t>🔶 Análisis de procesos actuales</t>
  </si>
  <si>
    <t>🔶 Requerimientos del sistema</t>
  </si>
  <si>
    <t>🔶 Objetivos</t>
  </si>
  <si>
    <t>🔶 Cronograma y recursos</t>
  </si>
  <si>
    <t>🔶 Flujo de mensajeria</t>
  </si>
  <si>
    <t>🔶 Interfaz del sistema (mockups)</t>
  </si>
  <si>
    <t>🔶 Herramientas y tecnologias</t>
  </si>
  <si>
    <t>🔶 Entorno de desarrollo</t>
  </si>
  <si>
    <t>🔶 Planeación</t>
  </si>
  <si>
    <t>🔶 Módulo de gestión de mensajes</t>
  </si>
  <si>
    <t>🔶 Modulo de automatización</t>
  </si>
  <si>
    <t>🔶 Integración con sistemas existentes</t>
  </si>
  <si>
    <t>Avance ejecutado</t>
  </si>
  <si>
    <t>Variación :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</si>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</sst>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Semana&quot;\ 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Mangal Pro"/>
    </font>
    <font>
      <sz val="10"/>
      <color theme="1"/>
      <name val="Mangal Pro"/>
    </font>
    <font>
      <b/>
      <sz val="10"/>
      <color rgb="FFFFFFFF"/>
      <name val="Mangal Pro"/>
    </font>
    <font>
      <b/>
      <sz val="10"/>
      <color rgb="FF000000"/>
      <name val="Mangal Pro"/>
    </font>
    <font>
      <sz val="10"/>
      <color rgb="FF000000"/>
      <name val="Mangal Pro"/>
    </font>
    <font>
      <b/>
      <sz val="10"/>
      <color theme="1"/>
      <name val="Mangal Pro"/>
    </font>
    <font>
      <sz val="10"/>
      <name val="Mangal Pro"/>
    </font>
  </fonts>
  <fills count="8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1FFE6"/>
        <bgColor rgb="FF000000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6" fillId="0" borderId="0" xfId="0" applyFont="1" applyAlignment="1">
      <alignment horizontal="center"/>
    </xf>
    <xf numFmtId="164" fontId="3" fillId="0" borderId="0" xfId="0" applyNumberFormat="1" applyFont="1"/>
    <xf numFmtId="0" fontId="2" fillId="0" borderId="0" xfId="0" applyFont="1" applyAlignment="1">
      <alignment horizontal="center" vertical="top"/>
    </xf>
    <xf numFmtId="0" fontId="6" fillId="0" borderId="0" xfId="0" applyFont="1"/>
    <xf numFmtId="165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0" fontId="6" fillId="0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165" fontId="6" fillId="6" borderId="1" xfId="0" applyNumberFormat="1" applyFont="1" applyFill="1" applyBorder="1" applyAlignment="1">
      <alignment horizontal="left" vertical="center"/>
    </xf>
    <xf numFmtId="165" fontId="6" fillId="6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10" fontId="6" fillId="6" borderId="1" xfId="1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5" fillId="0" borderId="0" xfId="0" applyFont="1"/>
    <xf numFmtId="10" fontId="3" fillId="0" borderId="1" xfId="0" applyNumberFormat="1" applyFont="1" applyBorder="1"/>
    <xf numFmtId="9" fontId="6" fillId="0" borderId="1" xfId="0" applyNumberFormat="1" applyFont="1" applyBorder="1" applyAlignment="1">
      <alignment horizontal="center"/>
    </xf>
    <xf numFmtId="164" fontId="3" fillId="7" borderId="1" xfId="0" applyNumberFormat="1" applyFont="1" applyFill="1" applyBorder="1"/>
    <xf numFmtId="10" fontId="7" fillId="0" borderId="1" xfId="0" applyNumberFormat="1" applyFont="1" applyBorder="1"/>
    <xf numFmtId="0" fontId="4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D1FFE6"/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'Curva S'!$G$3</c:f>
              <c:strCache>
                <c:ptCount val="1"/>
                <c:pt idx="0">
                  <c:v>% Acumulado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angal Pro" panose="00000500000000000000" pitchFamily="2" charset="0"/>
                    <a:ea typeface="+mn-ea"/>
                    <a:cs typeface="Mangal Pro" panose="00000500000000000000" pitchFamily="2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'Curva S'!$G$4:$G$21</c:f>
              <c:numCache>
                <c:formatCode>0.00%</c:formatCode>
                <c:ptCount val="18"/>
                <c:pt idx="0">
                  <c:v>0</c:v>
                </c:pt>
                <c:pt idx="1">
                  <c:v>4.8589341692789965E-2</c:v>
                </c:pt>
                <c:pt idx="2">
                  <c:v>9.4043887147335428E-2</c:v>
                </c:pt>
                <c:pt idx="3">
                  <c:v>0.15047021943573669</c:v>
                </c:pt>
                <c:pt idx="4">
                  <c:v>0.18652037617554859</c:v>
                </c:pt>
                <c:pt idx="5">
                  <c:v>0.2601880877742947</c:v>
                </c:pt>
                <c:pt idx="6">
                  <c:v>0.36363636363636365</c:v>
                </c:pt>
                <c:pt idx="7">
                  <c:v>0.40909090909090912</c:v>
                </c:pt>
                <c:pt idx="8">
                  <c:v>0.42163009404388713</c:v>
                </c:pt>
                <c:pt idx="9">
                  <c:v>0.44357366771159873</c:v>
                </c:pt>
                <c:pt idx="10">
                  <c:v>0.52037617554858939</c:v>
                </c:pt>
                <c:pt idx="11">
                  <c:v>0.58934169278996862</c:v>
                </c:pt>
                <c:pt idx="12">
                  <c:v>0.65047021943573669</c:v>
                </c:pt>
                <c:pt idx="13">
                  <c:v>0.7178683385579937</c:v>
                </c:pt>
                <c:pt idx="14">
                  <c:v>0.78840125391849525</c:v>
                </c:pt>
                <c:pt idx="15">
                  <c:v>0.87931034482758619</c:v>
                </c:pt>
                <c:pt idx="16">
                  <c:v>0.94200626959247646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A4-45BC-8BDA-3FE494CABF94}"/>
            </c:ext>
          </c:extLst>
        </c:ser>
        <c:ser>
          <c:idx val="1"/>
          <c:order val="1"/>
          <c:tx>
            <c:strRef>
              <c:f>'Curva S'!$L$3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angal Pro" panose="00000500000000000000" pitchFamily="2" charset="0"/>
                    <a:ea typeface="+mn-ea"/>
                    <a:cs typeface="Mangal Pro" panose="00000500000000000000" pitchFamily="2" charset="0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'Curva S'!$L$4:$L$16</c:f>
              <c:numCache>
                <c:formatCode>0.00%</c:formatCode>
                <c:ptCount val="13"/>
                <c:pt idx="0">
                  <c:v>0</c:v>
                </c:pt>
                <c:pt idx="1">
                  <c:v>4.8589341692789965E-2</c:v>
                </c:pt>
                <c:pt idx="2">
                  <c:v>9.4043887147335428E-2</c:v>
                </c:pt>
                <c:pt idx="3">
                  <c:v>0.15047021943573669</c:v>
                </c:pt>
                <c:pt idx="4">
                  <c:v>0.18652037617554859</c:v>
                </c:pt>
                <c:pt idx="5">
                  <c:v>0.2601880877742947</c:v>
                </c:pt>
                <c:pt idx="6">
                  <c:v>0.34012539184952978</c:v>
                </c:pt>
                <c:pt idx="7">
                  <c:v>0.38557993730407525</c:v>
                </c:pt>
                <c:pt idx="8">
                  <c:v>0.39811912225705332</c:v>
                </c:pt>
                <c:pt idx="9">
                  <c:v>0.42006269592476492</c:v>
                </c:pt>
                <c:pt idx="10">
                  <c:v>0.45924764890282133</c:v>
                </c:pt>
                <c:pt idx="11">
                  <c:v>0.47648902821316613</c:v>
                </c:pt>
                <c:pt idx="12">
                  <c:v>0.49059561128526646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A4-45BC-8BDA-3FE494CABF9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43202687"/>
        <c:axId val="1643203167"/>
      </c:lineChart>
      <c:catAx>
        <c:axId val="1643202687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gal Pro" panose="00000500000000000000" pitchFamily="2" charset="0"/>
                <a:ea typeface="+mn-ea"/>
                <a:cs typeface="Mangal Pro" panose="00000500000000000000" pitchFamily="2" charset="0"/>
              </a:defRPr>
            </a:pPr>
            <a:endParaRPr lang="es-CO"/>
          </a:p>
        </c:txPr>
        <c:crossAx val="1643203167"/>
        <c:crosses val="autoZero"/>
        <c:auto val="1"/>
        <c:lblAlgn val="ctr"/>
        <c:lblOffset val="100"/>
        <c:noMultiLvlLbl val="0"/>
      </c:catAx>
      <c:valAx>
        <c:axId val="16432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gal Pro" panose="00000500000000000000" pitchFamily="2" charset="0"/>
                <a:ea typeface="+mn-ea"/>
                <a:cs typeface="Mangal Pro" panose="00000500000000000000" pitchFamily="2" charset="0"/>
              </a:defRPr>
            </a:pPr>
            <a:endParaRPr lang="es-CO"/>
          </a:p>
        </c:txPr>
        <c:crossAx val="164320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5898</xdr:colOff>
      <xdr:row>2</xdr:row>
      <xdr:rowOff>87772</xdr:rowOff>
    </xdr:from>
    <xdr:to>
      <xdr:col>22</xdr:col>
      <xdr:colOff>569844</xdr:colOff>
      <xdr:row>20</xdr:row>
      <xdr:rowOff>125896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D97891-07E0-E40D-8B5D-2A538B773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23"/>
  <sheetViews>
    <sheetView tabSelected="1" zoomScale="85" zoomScaleNormal="85" workbookViewId="0">
      <selection activeCell="J15" sqref="J15"/>
    </sheetView>
  </sheetViews>
  <sheetFormatPr baseColWidth="10" defaultColWidth="8.88671875" defaultRowHeight="19.2" x14ac:dyDescent="0.7"/>
  <cols>
    <col min="1" max="1" width="8.88671875" style="1"/>
    <col min="2" max="2" width="37.21875" style="1" bestFit="1" customWidth="1"/>
    <col min="3" max="3" width="13" style="1" bestFit="1" customWidth="1"/>
    <col min="4" max="4" width="20.88671875" style="1" bestFit="1" customWidth="1"/>
    <col min="5" max="5" width="16.44140625" style="1" bestFit="1" customWidth="1"/>
    <col min="6" max="6" width="17.5546875" style="1" bestFit="1" customWidth="1"/>
    <col min="7" max="7" width="15" style="1" bestFit="1" customWidth="1"/>
    <col min="8" max="8" width="13" style="1" bestFit="1" customWidth="1"/>
    <col min="9" max="9" width="20.88671875" style="1" bestFit="1" customWidth="1"/>
    <col min="10" max="10" width="16.44140625" style="1" bestFit="1" customWidth="1"/>
    <col min="11" max="11" width="17.44140625" style="1" customWidth="1"/>
    <col min="12" max="12" width="8.33203125" style="1" bestFit="1" customWidth="1"/>
    <col min="13" max="16384" width="8.88671875" style="1"/>
  </cols>
  <sheetData>
    <row r="1" spans="2:12" x14ac:dyDescent="0.7">
      <c r="B1" s="4"/>
      <c r="C1" s="4"/>
      <c r="D1" s="4"/>
    </row>
    <row r="2" spans="2:12" x14ac:dyDescent="0.7">
      <c r="B2" s="3"/>
      <c r="C2" s="23" t="s">
        <v>0</v>
      </c>
      <c r="D2" s="23"/>
      <c r="E2" s="18"/>
      <c r="F2" s="18"/>
      <c r="G2" s="18"/>
      <c r="H2" s="24" t="s">
        <v>1</v>
      </c>
      <c r="I2" s="24"/>
      <c r="J2" s="25">
        <f ca="1">TODAY()</f>
        <v>45965</v>
      </c>
      <c r="K2" s="25"/>
      <c r="L2" s="25"/>
    </row>
    <row r="3" spans="2:12" ht="17.399999999999999" customHeight="1" x14ac:dyDescent="0.7">
      <c r="B3" s="3"/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2</v>
      </c>
      <c r="I3" s="17" t="s">
        <v>3</v>
      </c>
      <c r="J3" s="17" t="s">
        <v>4</v>
      </c>
      <c r="K3" s="17" t="s">
        <v>5</v>
      </c>
      <c r="L3" s="17" t="s">
        <v>7</v>
      </c>
    </row>
    <row r="4" spans="2:12" x14ac:dyDescent="0.7">
      <c r="C4" s="14">
        <v>0</v>
      </c>
      <c r="D4" s="15" t="s">
        <v>8</v>
      </c>
      <c r="E4" s="15">
        <v>0</v>
      </c>
      <c r="F4" s="15">
        <f>E4</f>
        <v>0</v>
      </c>
      <c r="G4" s="16">
        <f>F4/$E$22</f>
        <v>0</v>
      </c>
      <c r="H4" s="14">
        <f>C4</f>
        <v>0</v>
      </c>
      <c r="I4" s="14" t="str">
        <f>D4</f>
        <v>(04/08/25-10/08/25)</v>
      </c>
      <c r="J4" s="15">
        <v>0</v>
      </c>
      <c r="K4" s="15">
        <f>J4</f>
        <v>0</v>
      </c>
      <c r="L4" s="16">
        <f>K4/$E$22</f>
        <v>0</v>
      </c>
    </row>
    <row r="5" spans="2:12" x14ac:dyDescent="0.7">
      <c r="B5" s="13" t="s">
        <v>39</v>
      </c>
      <c r="C5" s="14">
        <v>1</v>
      </c>
      <c r="D5" s="15" t="s">
        <v>9</v>
      </c>
      <c r="E5" s="15">
        <v>31</v>
      </c>
      <c r="F5" s="15">
        <f>E5</f>
        <v>31</v>
      </c>
      <c r="G5" s="16">
        <f t="shared" ref="G5:G21" si="0">F5/$E$22</f>
        <v>4.8589341692789965E-2</v>
      </c>
      <c r="H5" s="14">
        <f t="shared" ref="H5:I21" si="1">C5</f>
        <v>1</v>
      </c>
      <c r="I5" s="14" t="str">
        <f t="shared" si="1"/>
        <v>(11/08/25-17/08/25)</v>
      </c>
      <c r="J5" s="15">
        <v>31</v>
      </c>
      <c r="K5" s="15">
        <f>K4+J5</f>
        <v>31</v>
      </c>
      <c r="L5" s="16">
        <f t="shared" ref="L5:L16" si="2">K5/$E$22</f>
        <v>4.8589341692789965E-2</v>
      </c>
    </row>
    <row r="6" spans="2:12" x14ac:dyDescent="0.7">
      <c r="B6" s="13" t="s">
        <v>31</v>
      </c>
      <c r="C6" s="14">
        <v>2</v>
      </c>
      <c r="D6" s="15" t="s">
        <v>10</v>
      </c>
      <c r="E6" s="15">
        <v>29</v>
      </c>
      <c r="F6" s="15">
        <f t="shared" ref="F6:F21" si="3">F5+E6</f>
        <v>60</v>
      </c>
      <c r="G6" s="16">
        <f t="shared" si="0"/>
        <v>9.4043887147335428E-2</v>
      </c>
      <c r="H6" s="14">
        <f t="shared" si="1"/>
        <v>2</v>
      </c>
      <c r="I6" s="14" t="str">
        <f t="shared" si="1"/>
        <v>(18/08/25-24/08/25)</v>
      </c>
      <c r="J6" s="15">
        <v>29</v>
      </c>
      <c r="K6" s="15">
        <f t="shared" ref="K6:K16" si="4">K5+J6</f>
        <v>60</v>
      </c>
      <c r="L6" s="16">
        <f t="shared" si="2"/>
        <v>9.4043887147335428E-2</v>
      </c>
    </row>
    <row r="7" spans="2:12" x14ac:dyDescent="0.7">
      <c r="B7" s="13" t="s">
        <v>32</v>
      </c>
      <c r="C7" s="14">
        <v>3</v>
      </c>
      <c r="D7" s="15" t="s">
        <v>11</v>
      </c>
      <c r="E7" s="15">
        <v>36</v>
      </c>
      <c r="F7" s="15">
        <f t="shared" si="3"/>
        <v>96</v>
      </c>
      <c r="G7" s="16">
        <f t="shared" si="0"/>
        <v>0.15047021943573669</v>
      </c>
      <c r="H7" s="14">
        <f t="shared" si="1"/>
        <v>3</v>
      </c>
      <c r="I7" s="14" t="str">
        <f t="shared" si="1"/>
        <v>(25/08/25-31/08/25)</v>
      </c>
      <c r="J7" s="15">
        <v>36</v>
      </c>
      <c r="K7" s="15">
        <f t="shared" si="4"/>
        <v>96</v>
      </c>
      <c r="L7" s="16">
        <f t="shared" si="2"/>
        <v>0.15047021943573669</v>
      </c>
    </row>
    <row r="8" spans="2:12" x14ac:dyDescent="0.7">
      <c r="B8" s="13" t="s">
        <v>33</v>
      </c>
      <c r="C8" s="14">
        <v>4</v>
      </c>
      <c r="D8" s="15" t="s">
        <v>12</v>
      </c>
      <c r="E8" s="15">
        <v>23</v>
      </c>
      <c r="F8" s="15">
        <f t="shared" si="3"/>
        <v>119</v>
      </c>
      <c r="G8" s="16">
        <f t="shared" si="0"/>
        <v>0.18652037617554859</v>
      </c>
      <c r="H8" s="14">
        <f t="shared" si="1"/>
        <v>4</v>
      </c>
      <c r="I8" s="14" t="str">
        <f t="shared" si="1"/>
        <v>(01/09/25-07/09/25)</v>
      </c>
      <c r="J8" s="15">
        <v>23</v>
      </c>
      <c r="K8" s="15">
        <f t="shared" si="4"/>
        <v>119</v>
      </c>
      <c r="L8" s="16">
        <f t="shared" si="2"/>
        <v>0.18652037617554859</v>
      </c>
    </row>
    <row r="9" spans="2:12" x14ac:dyDescent="0.7">
      <c r="B9" s="13" t="s">
        <v>34</v>
      </c>
      <c r="C9" s="14">
        <v>5</v>
      </c>
      <c r="D9" s="15" t="s">
        <v>13</v>
      </c>
      <c r="E9" s="15">
        <v>47</v>
      </c>
      <c r="F9" s="15">
        <f t="shared" si="3"/>
        <v>166</v>
      </c>
      <c r="G9" s="16">
        <f t="shared" si="0"/>
        <v>0.2601880877742947</v>
      </c>
      <c r="H9" s="14">
        <f t="shared" si="1"/>
        <v>5</v>
      </c>
      <c r="I9" s="14" t="str">
        <f t="shared" si="1"/>
        <v>(08/09/25-14/09/25)</v>
      </c>
      <c r="J9" s="15">
        <v>47</v>
      </c>
      <c r="K9" s="15">
        <f t="shared" si="4"/>
        <v>166</v>
      </c>
      <c r="L9" s="16">
        <f t="shared" si="2"/>
        <v>0.2601880877742947</v>
      </c>
    </row>
    <row r="10" spans="2:12" x14ac:dyDescent="0.7">
      <c r="B10" s="13" t="s">
        <v>35</v>
      </c>
      <c r="C10" s="14">
        <v>6</v>
      </c>
      <c r="D10" s="15" t="s">
        <v>14</v>
      </c>
      <c r="E10" s="15">
        <v>66</v>
      </c>
      <c r="F10" s="15">
        <f t="shared" si="3"/>
        <v>232</v>
      </c>
      <c r="G10" s="16">
        <f t="shared" si="0"/>
        <v>0.36363636363636365</v>
      </c>
      <c r="H10" s="14">
        <f t="shared" si="1"/>
        <v>6</v>
      </c>
      <c r="I10" s="14" t="str">
        <f t="shared" si="1"/>
        <v>(15/09/25-21/09/25)</v>
      </c>
      <c r="J10" s="15">
        <v>51</v>
      </c>
      <c r="K10" s="15">
        <f t="shared" si="4"/>
        <v>217</v>
      </c>
      <c r="L10" s="16">
        <f t="shared" si="2"/>
        <v>0.34012539184952978</v>
      </c>
    </row>
    <row r="11" spans="2:12" x14ac:dyDescent="0.7">
      <c r="B11" s="13" t="s">
        <v>36</v>
      </c>
      <c r="C11" s="14">
        <v>7</v>
      </c>
      <c r="D11" s="15" t="s">
        <v>15</v>
      </c>
      <c r="E11" s="15">
        <v>29</v>
      </c>
      <c r="F11" s="15">
        <f t="shared" si="3"/>
        <v>261</v>
      </c>
      <c r="G11" s="16">
        <f t="shared" si="0"/>
        <v>0.40909090909090912</v>
      </c>
      <c r="H11" s="14">
        <f t="shared" si="1"/>
        <v>7</v>
      </c>
      <c r="I11" s="14" t="str">
        <f t="shared" si="1"/>
        <v>(22/09/25-28/09/25)</v>
      </c>
      <c r="J11" s="15">
        <v>29</v>
      </c>
      <c r="K11" s="15">
        <f t="shared" si="4"/>
        <v>246</v>
      </c>
      <c r="L11" s="16">
        <f t="shared" si="2"/>
        <v>0.38557993730407525</v>
      </c>
    </row>
    <row r="12" spans="2:12" x14ac:dyDescent="0.7">
      <c r="B12" s="13" t="s">
        <v>37</v>
      </c>
      <c r="C12" s="14">
        <v>8</v>
      </c>
      <c r="D12" s="15" t="s">
        <v>16</v>
      </c>
      <c r="E12" s="15">
        <v>8</v>
      </c>
      <c r="F12" s="15">
        <f t="shared" si="3"/>
        <v>269</v>
      </c>
      <c r="G12" s="16">
        <f t="shared" si="0"/>
        <v>0.42163009404388713</v>
      </c>
      <c r="H12" s="14">
        <f t="shared" si="1"/>
        <v>8</v>
      </c>
      <c r="I12" s="14" t="str">
        <f t="shared" si="1"/>
        <v>(29/09/25-05/10/25)</v>
      </c>
      <c r="J12" s="15">
        <v>8</v>
      </c>
      <c r="K12" s="15">
        <f t="shared" si="4"/>
        <v>254</v>
      </c>
      <c r="L12" s="16">
        <f t="shared" si="2"/>
        <v>0.39811912225705332</v>
      </c>
    </row>
    <row r="13" spans="2:12" x14ac:dyDescent="0.7">
      <c r="B13" s="13" t="s">
        <v>38</v>
      </c>
      <c r="C13" s="14">
        <v>9</v>
      </c>
      <c r="D13" s="15" t="s">
        <v>17</v>
      </c>
      <c r="E13" s="15">
        <v>14</v>
      </c>
      <c r="F13" s="15">
        <f t="shared" si="3"/>
        <v>283</v>
      </c>
      <c r="G13" s="16">
        <f t="shared" si="0"/>
        <v>0.44357366771159873</v>
      </c>
      <c r="H13" s="14">
        <f t="shared" si="1"/>
        <v>9</v>
      </c>
      <c r="I13" s="14" t="str">
        <f t="shared" si="1"/>
        <v>(06/10/25-12/10/25)</v>
      </c>
      <c r="J13" s="15">
        <v>14</v>
      </c>
      <c r="K13" s="15">
        <f t="shared" si="4"/>
        <v>268</v>
      </c>
      <c r="L13" s="16">
        <f t="shared" si="2"/>
        <v>0.42006269592476492</v>
      </c>
    </row>
    <row r="14" spans="2:12" x14ac:dyDescent="0.7">
      <c r="B14" s="13" t="s">
        <v>40</v>
      </c>
      <c r="C14" s="14">
        <v>10</v>
      </c>
      <c r="D14" s="15" t="s">
        <v>18</v>
      </c>
      <c r="E14" s="15">
        <v>49</v>
      </c>
      <c r="F14" s="15">
        <f t="shared" si="3"/>
        <v>332</v>
      </c>
      <c r="G14" s="16">
        <f t="shared" si="0"/>
        <v>0.52037617554858939</v>
      </c>
      <c r="H14" s="14">
        <f t="shared" si="1"/>
        <v>10</v>
      </c>
      <c r="I14" s="14" t="str">
        <f t="shared" si="1"/>
        <v>(13/10/25-19/10/25)</v>
      </c>
      <c r="J14" s="15">
        <v>25</v>
      </c>
      <c r="K14" s="15">
        <f t="shared" si="4"/>
        <v>293</v>
      </c>
      <c r="L14" s="16">
        <f t="shared" si="2"/>
        <v>0.45924764890282133</v>
      </c>
    </row>
    <row r="15" spans="2:12" x14ac:dyDescent="0.7">
      <c r="B15" s="13" t="s">
        <v>41</v>
      </c>
      <c r="C15" s="14">
        <v>11</v>
      </c>
      <c r="D15" s="15" t="s">
        <v>19</v>
      </c>
      <c r="E15" s="15">
        <v>44</v>
      </c>
      <c r="F15" s="15">
        <f t="shared" si="3"/>
        <v>376</v>
      </c>
      <c r="G15" s="16">
        <f t="shared" si="0"/>
        <v>0.58934169278996862</v>
      </c>
      <c r="H15" s="14">
        <f t="shared" si="1"/>
        <v>11</v>
      </c>
      <c r="I15" s="14" t="str">
        <f t="shared" si="1"/>
        <v>(20/10/25-26/10/25)</v>
      </c>
      <c r="J15" s="15">
        <v>11</v>
      </c>
      <c r="K15" s="15">
        <f t="shared" si="4"/>
        <v>304</v>
      </c>
      <c r="L15" s="16">
        <f t="shared" si="2"/>
        <v>0.47648902821316613</v>
      </c>
    </row>
    <row r="16" spans="2:12" x14ac:dyDescent="0.7">
      <c r="B16" s="13" t="s">
        <v>42</v>
      </c>
      <c r="C16" s="14">
        <v>12</v>
      </c>
      <c r="D16" s="15" t="s">
        <v>20</v>
      </c>
      <c r="E16" s="15">
        <v>39</v>
      </c>
      <c r="F16" s="15">
        <f t="shared" si="3"/>
        <v>415</v>
      </c>
      <c r="G16" s="16">
        <f t="shared" si="0"/>
        <v>0.65047021943573669</v>
      </c>
      <c r="H16" s="14">
        <f t="shared" si="1"/>
        <v>12</v>
      </c>
      <c r="I16" s="14" t="str">
        <f t="shared" si="1"/>
        <v>(27/10/25-02/11/25)</v>
      </c>
      <c r="J16" s="15">
        <v>9</v>
      </c>
      <c r="K16" s="15">
        <f t="shared" si="4"/>
        <v>313</v>
      </c>
      <c r="L16" s="16">
        <f t="shared" si="2"/>
        <v>0.49059561128526646</v>
      </c>
    </row>
    <row r="17" spans="2:12" x14ac:dyDescent="0.7">
      <c r="B17" s="11" t="s">
        <v>26</v>
      </c>
      <c r="C17" s="6">
        <v>13</v>
      </c>
      <c r="D17" s="6" t="s">
        <v>21</v>
      </c>
      <c r="E17" s="7">
        <v>43</v>
      </c>
      <c r="F17" s="8">
        <f t="shared" si="3"/>
        <v>458</v>
      </c>
      <c r="G17" s="9">
        <f t="shared" si="0"/>
        <v>0.7178683385579937</v>
      </c>
      <c r="H17" s="6">
        <f t="shared" si="1"/>
        <v>13</v>
      </c>
      <c r="I17" s="6" t="str">
        <f t="shared" si="1"/>
        <v>(03/11/25-09/11/25)</v>
      </c>
      <c r="J17" s="7" t="s">
        <v>45</v>
      </c>
      <c r="K17" s="7" t="s">
        <v>45</v>
      </c>
      <c r="L17" s="20" t="s">
        <v>45</v>
      </c>
    </row>
    <row r="18" spans="2:12" x14ac:dyDescent="0.7">
      <c r="B18" s="11" t="s">
        <v>27</v>
      </c>
      <c r="C18" s="6">
        <v>14</v>
      </c>
      <c r="D18" s="6" t="s">
        <v>22</v>
      </c>
      <c r="E18" s="7">
        <v>45</v>
      </c>
      <c r="F18" s="8">
        <f t="shared" si="3"/>
        <v>503</v>
      </c>
      <c r="G18" s="9">
        <f t="shared" si="0"/>
        <v>0.78840125391849525</v>
      </c>
      <c r="H18" s="6">
        <f t="shared" si="1"/>
        <v>14</v>
      </c>
      <c r="I18" s="6" t="str">
        <f t="shared" si="1"/>
        <v>(10/11/25-07/16/25)</v>
      </c>
      <c r="J18" s="7" t="s">
        <v>45</v>
      </c>
      <c r="K18" s="7" t="s">
        <v>45</v>
      </c>
      <c r="L18" s="7" t="s">
        <v>45</v>
      </c>
    </row>
    <row r="19" spans="2:12" x14ac:dyDescent="0.7">
      <c r="B19" s="11" t="s">
        <v>28</v>
      </c>
      <c r="C19" s="6">
        <v>15</v>
      </c>
      <c r="D19" s="6" t="s">
        <v>23</v>
      </c>
      <c r="E19" s="7">
        <v>58</v>
      </c>
      <c r="F19" s="8">
        <f t="shared" si="3"/>
        <v>561</v>
      </c>
      <c r="G19" s="9">
        <f t="shared" si="0"/>
        <v>0.87931034482758619</v>
      </c>
      <c r="H19" s="6">
        <f t="shared" si="1"/>
        <v>15</v>
      </c>
      <c r="I19" s="6" t="str">
        <f t="shared" si="1"/>
        <v>(17/11/25-23/11/25)</v>
      </c>
      <c r="J19" s="7" t="s">
        <v>45</v>
      </c>
      <c r="K19" s="7" t="s">
        <v>45</v>
      </c>
      <c r="L19" s="7" t="s">
        <v>45</v>
      </c>
    </row>
    <row r="20" spans="2:12" x14ac:dyDescent="0.7">
      <c r="B20" s="12" t="s">
        <v>29</v>
      </c>
      <c r="C20" s="6">
        <v>16</v>
      </c>
      <c r="D20" s="6" t="s">
        <v>24</v>
      </c>
      <c r="E20" s="7">
        <v>40</v>
      </c>
      <c r="F20" s="8">
        <f t="shared" si="3"/>
        <v>601</v>
      </c>
      <c r="G20" s="9">
        <f t="shared" si="0"/>
        <v>0.94200626959247646</v>
      </c>
      <c r="H20" s="6">
        <f t="shared" si="1"/>
        <v>16</v>
      </c>
      <c r="I20" s="6" t="str">
        <f t="shared" si="1"/>
        <v>(24/11/25-30/11/25)</v>
      </c>
      <c r="J20" s="7" t="s">
        <v>45</v>
      </c>
      <c r="K20" s="7" t="s">
        <v>45</v>
      </c>
      <c r="L20" s="7" t="s">
        <v>45</v>
      </c>
    </row>
    <row r="21" spans="2:12" x14ac:dyDescent="0.7">
      <c r="B21" s="11" t="s">
        <v>30</v>
      </c>
      <c r="C21" s="6">
        <v>17</v>
      </c>
      <c r="D21" s="6" t="s">
        <v>25</v>
      </c>
      <c r="E21" s="7">
        <v>37</v>
      </c>
      <c r="F21" s="8">
        <f t="shared" si="3"/>
        <v>638</v>
      </c>
      <c r="G21" s="9">
        <f t="shared" si="0"/>
        <v>1</v>
      </c>
      <c r="H21" s="6">
        <f t="shared" si="1"/>
        <v>17</v>
      </c>
      <c r="I21" s="6" t="str">
        <f t="shared" si="1"/>
        <v>(01/12/25-07/12/25)</v>
      </c>
      <c r="J21" s="7" t="s">
        <v>45</v>
      </c>
      <c r="K21" s="7" t="s">
        <v>45</v>
      </c>
      <c r="L21" s="7" t="s">
        <v>45</v>
      </c>
    </row>
    <row r="22" spans="2:12" x14ac:dyDescent="0.7">
      <c r="B22" s="3"/>
      <c r="C22" s="5"/>
      <c r="D22" s="5"/>
      <c r="E22" s="10">
        <f>SUM(E4:E21)</f>
        <v>638</v>
      </c>
      <c r="F22" s="2"/>
      <c r="G22" s="5"/>
      <c r="H22" s="5"/>
      <c r="I22" s="5"/>
      <c r="J22" s="5"/>
      <c r="K22" s="5"/>
      <c r="L22" s="5"/>
    </row>
    <row r="23" spans="2:12" x14ac:dyDescent="0.7">
      <c r="B23" s="3"/>
    </row>
    <row r="24" spans="2:12" x14ac:dyDescent="0.7">
      <c r="B24" s="21" t="s">
        <v>0</v>
      </c>
      <c r="C24" s="19">
        <f>INDEX(G$4:G$21,MATCH($C$16,$C$4:$C$21,0))</f>
        <v>0.65047021943573669</v>
      </c>
    </row>
    <row r="25" spans="2:12" x14ac:dyDescent="0.7">
      <c r="B25" s="21" t="s">
        <v>43</v>
      </c>
      <c r="C25" s="19">
        <f>INDEX(L$4:L$21,MATCH($C$16,$C$4:$C$21,0))</f>
        <v>0.49059561128526646</v>
      </c>
    </row>
    <row r="26" spans="2:12" x14ac:dyDescent="0.7">
      <c r="B26" s="21" t="s">
        <v>44</v>
      </c>
      <c r="C26" s="22">
        <f>C24-C25</f>
        <v>0.15987460815047022</v>
      </c>
    </row>
    <row r="27" spans="2:12" x14ac:dyDescent="0.7">
      <c r="B27" s="3"/>
    </row>
    <row r="28" spans="2:12" x14ac:dyDescent="0.7">
      <c r="B28" s="3"/>
    </row>
    <row r="29" spans="2:12" x14ac:dyDescent="0.7">
      <c r="B29" s="3"/>
    </row>
    <row r="30" spans="2:12" x14ac:dyDescent="0.7">
      <c r="B30" s="3"/>
    </row>
    <row r="31" spans="2:12" x14ac:dyDescent="0.7">
      <c r="B31" s="3"/>
    </row>
    <row r="32" spans="2:12" x14ac:dyDescent="0.7">
      <c r="B32" s="3"/>
    </row>
    <row r="33" spans="2:2" x14ac:dyDescent="0.7">
      <c r="B33" s="3"/>
    </row>
    <row r="34" spans="2:2" x14ac:dyDescent="0.7">
      <c r="B34" s="3"/>
    </row>
    <row r="35" spans="2:2" x14ac:dyDescent="0.7">
      <c r="B35" s="3"/>
    </row>
    <row r="36" spans="2:2" x14ac:dyDescent="0.7">
      <c r="B36" s="3"/>
    </row>
    <row r="37" spans="2:2" x14ac:dyDescent="0.7">
      <c r="B37" s="3"/>
    </row>
    <row r="38" spans="2:2" x14ac:dyDescent="0.7">
      <c r="B38" s="3"/>
    </row>
    <row r="39" spans="2:2" x14ac:dyDescent="0.7">
      <c r="B39" s="3"/>
    </row>
    <row r="40" spans="2:2" x14ac:dyDescent="0.7">
      <c r="B40" s="3"/>
    </row>
    <row r="41" spans="2:2" x14ac:dyDescent="0.7">
      <c r="B41" s="3"/>
    </row>
    <row r="42" spans="2:2" x14ac:dyDescent="0.7">
      <c r="B42" s="3"/>
    </row>
    <row r="43" spans="2:2" x14ac:dyDescent="0.7">
      <c r="B43" s="3"/>
    </row>
    <row r="44" spans="2:2" x14ac:dyDescent="0.7">
      <c r="B44" s="3"/>
    </row>
    <row r="45" spans="2:2" x14ac:dyDescent="0.7">
      <c r="B45" s="3"/>
    </row>
    <row r="46" spans="2:2" x14ac:dyDescent="0.7">
      <c r="B46" s="3"/>
    </row>
    <row r="47" spans="2:2" x14ac:dyDescent="0.7">
      <c r="B47" s="3"/>
    </row>
    <row r="48" spans="2:2" x14ac:dyDescent="0.7">
      <c r="B48" s="3"/>
    </row>
    <row r="49" spans="2:2" x14ac:dyDescent="0.7">
      <c r="B49" s="3"/>
    </row>
    <row r="50" spans="2:2" x14ac:dyDescent="0.7">
      <c r="B50" s="3"/>
    </row>
    <row r="51" spans="2:2" x14ac:dyDescent="0.7">
      <c r="B51" s="3"/>
    </row>
    <row r="52" spans="2:2" x14ac:dyDescent="0.7">
      <c r="B52" s="3"/>
    </row>
    <row r="53" spans="2:2" x14ac:dyDescent="0.7">
      <c r="B53" s="3"/>
    </row>
    <row r="54" spans="2:2" x14ac:dyDescent="0.7">
      <c r="B54" s="3"/>
    </row>
    <row r="55" spans="2:2" x14ac:dyDescent="0.7">
      <c r="B55" s="3"/>
    </row>
    <row r="56" spans="2:2" x14ac:dyDescent="0.7">
      <c r="B56" s="3"/>
    </row>
    <row r="57" spans="2:2" x14ac:dyDescent="0.7">
      <c r="B57" s="3"/>
    </row>
    <row r="58" spans="2:2" x14ac:dyDescent="0.7">
      <c r="B58" s="3"/>
    </row>
    <row r="59" spans="2:2" x14ac:dyDescent="0.7">
      <c r="B59" s="3"/>
    </row>
    <row r="60" spans="2:2" x14ac:dyDescent="0.7">
      <c r="B60" s="3"/>
    </row>
    <row r="61" spans="2:2" x14ac:dyDescent="0.7">
      <c r="B61" s="3"/>
    </row>
    <row r="62" spans="2:2" x14ac:dyDescent="0.7">
      <c r="B62" s="3"/>
    </row>
    <row r="63" spans="2:2" x14ac:dyDescent="0.7">
      <c r="B63" s="3"/>
    </row>
    <row r="64" spans="2:2" x14ac:dyDescent="0.7">
      <c r="B64" s="3"/>
    </row>
    <row r="65" spans="2:2" x14ac:dyDescent="0.7">
      <c r="B65" s="3"/>
    </row>
    <row r="66" spans="2:2" x14ac:dyDescent="0.7">
      <c r="B66" s="3"/>
    </row>
    <row r="67" spans="2:2" x14ac:dyDescent="0.7">
      <c r="B67" s="3"/>
    </row>
    <row r="68" spans="2:2" x14ac:dyDescent="0.7">
      <c r="B68" s="3"/>
    </row>
    <row r="69" spans="2:2" x14ac:dyDescent="0.7">
      <c r="B69" s="3"/>
    </row>
    <row r="70" spans="2:2" x14ac:dyDescent="0.7">
      <c r="B70" s="3"/>
    </row>
    <row r="71" spans="2:2" x14ac:dyDescent="0.7">
      <c r="B71" s="3"/>
    </row>
    <row r="72" spans="2:2" x14ac:dyDescent="0.7">
      <c r="B72" s="3"/>
    </row>
    <row r="73" spans="2:2" x14ac:dyDescent="0.7">
      <c r="B73" s="3"/>
    </row>
    <row r="74" spans="2:2" x14ac:dyDescent="0.7">
      <c r="B74" s="3"/>
    </row>
    <row r="75" spans="2:2" x14ac:dyDescent="0.7">
      <c r="B75" s="3"/>
    </row>
    <row r="76" spans="2:2" x14ac:dyDescent="0.7">
      <c r="B76" s="3"/>
    </row>
    <row r="77" spans="2:2" x14ac:dyDescent="0.7">
      <c r="B77" s="3"/>
    </row>
    <row r="78" spans="2:2" x14ac:dyDescent="0.7">
      <c r="B78" s="3"/>
    </row>
    <row r="79" spans="2:2" x14ac:dyDescent="0.7">
      <c r="B79" s="3"/>
    </row>
    <row r="80" spans="2:2" x14ac:dyDescent="0.7">
      <c r="B80" s="3"/>
    </row>
    <row r="81" spans="2:2" x14ac:dyDescent="0.7">
      <c r="B81" s="3"/>
    </row>
    <row r="82" spans="2:2" x14ac:dyDescent="0.7">
      <c r="B82" s="3"/>
    </row>
    <row r="83" spans="2:2" x14ac:dyDescent="0.7">
      <c r="B83" s="3"/>
    </row>
    <row r="84" spans="2:2" x14ac:dyDescent="0.7">
      <c r="B84" s="3"/>
    </row>
    <row r="85" spans="2:2" x14ac:dyDescent="0.7">
      <c r="B85" s="3"/>
    </row>
    <row r="86" spans="2:2" x14ac:dyDescent="0.7">
      <c r="B86" s="3"/>
    </row>
    <row r="87" spans="2:2" x14ac:dyDescent="0.7">
      <c r="B87" s="3"/>
    </row>
    <row r="88" spans="2:2" x14ac:dyDescent="0.7">
      <c r="B88" s="3"/>
    </row>
    <row r="89" spans="2:2" x14ac:dyDescent="0.7">
      <c r="B89" s="3"/>
    </row>
    <row r="90" spans="2:2" x14ac:dyDescent="0.7">
      <c r="B90" s="3"/>
    </row>
    <row r="91" spans="2:2" x14ac:dyDescent="0.7">
      <c r="B91" s="3"/>
    </row>
    <row r="92" spans="2:2" x14ac:dyDescent="0.7">
      <c r="B92" s="3"/>
    </row>
    <row r="93" spans="2:2" x14ac:dyDescent="0.7">
      <c r="B93" s="3"/>
    </row>
    <row r="94" spans="2:2" x14ac:dyDescent="0.7">
      <c r="B94" s="3"/>
    </row>
    <row r="95" spans="2:2" x14ac:dyDescent="0.7">
      <c r="B95" s="3"/>
    </row>
    <row r="96" spans="2:2" x14ac:dyDescent="0.7">
      <c r="B96" s="3"/>
    </row>
    <row r="97" spans="2:2" x14ac:dyDescent="0.7">
      <c r="B97" s="3"/>
    </row>
    <row r="98" spans="2:2" x14ac:dyDescent="0.7">
      <c r="B98" s="3"/>
    </row>
    <row r="99" spans="2:2" x14ac:dyDescent="0.7">
      <c r="B99" s="3"/>
    </row>
    <row r="100" spans="2:2" x14ac:dyDescent="0.7">
      <c r="B100" s="3"/>
    </row>
    <row r="101" spans="2:2" x14ac:dyDescent="0.7">
      <c r="B101" s="3"/>
    </row>
    <row r="102" spans="2:2" x14ac:dyDescent="0.7">
      <c r="B102" s="3"/>
    </row>
    <row r="103" spans="2:2" x14ac:dyDescent="0.7">
      <c r="B103" s="3"/>
    </row>
    <row r="104" spans="2:2" x14ac:dyDescent="0.7">
      <c r="B104" s="3"/>
    </row>
    <row r="105" spans="2:2" x14ac:dyDescent="0.7">
      <c r="B105" s="3"/>
    </row>
    <row r="106" spans="2:2" x14ac:dyDescent="0.7">
      <c r="B106" s="3"/>
    </row>
    <row r="107" spans="2:2" x14ac:dyDescent="0.7">
      <c r="B107" s="3"/>
    </row>
    <row r="108" spans="2:2" x14ac:dyDescent="0.7">
      <c r="B108" s="3"/>
    </row>
    <row r="109" spans="2:2" x14ac:dyDescent="0.7">
      <c r="B109" s="3"/>
    </row>
    <row r="110" spans="2:2" x14ac:dyDescent="0.7">
      <c r="B110" s="3"/>
    </row>
    <row r="111" spans="2:2" x14ac:dyDescent="0.7">
      <c r="B111" s="3"/>
    </row>
    <row r="112" spans="2:2" x14ac:dyDescent="0.7">
      <c r="B112" s="3"/>
    </row>
    <row r="113" spans="2:2" x14ac:dyDescent="0.7">
      <c r="B113" s="3"/>
    </row>
    <row r="114" spans="2:2" x14ac:dyDescent="0.7">
      <c r="B114" s="3"/>
    </row>
    <row r="115" spans="2:2" x14ac:dyDescent="0.7">
      <c r="B115" s="3"/>
    </row>
    <row r="116" spans="2:2" x14ac:dyDescent="0.7">
      <c r="B116" s="3"/>
    </row>
    <row r="117" spans="2:2" x14ac:dyDescent="0.7">
      <c r="B117" s="3"/>
    </row>
    <row r="118" spans="2:2" x14ac:dyDescent="0.7">
      <c r="B118" s="3"/>
    </row>
    <row r="119" spans="2:2" x14ac:dyDescent="0.7">
      <c r="B119" s="3"/>
    </row>
    <row r="120" spans="2:2" x14ac:dyDescent="0.7">
      <c r="B120" s="3"/>
    </row>
    <row r="121" spans="2:2" x14ac:dyDescent="0.7">
      <c r="B121" s="3"/>
    </row>
    <row r="122" spans="2:2" x14ac:dyDescent="0.7">
      <c r="B122" s="3"/>
    </row>
    <row r="123" spans="2:2" x14ac:dyDescent="0.7">
      <c r="B123" s="3"/>
    </row>
  </sheetData>
  <mergeCells count="3">
    <mergeCell ref="C2:D2"/>
    <mergeCell ref="H2:I2"/>
    <mergeCell ref="J2:L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Curva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Pino Quiroz</cp:lastModifiedBy>
  <dcterms:created xsi:type="dcterms:W3CDTF">2025-10-29T23:50:31Z</dcterms:created>
  <dcterms:modified xsi:type="dcterms:W3CDTF">2025-11-04T17:28:24Z</dcterms:modified>
</cp:coreProperties>
</file>